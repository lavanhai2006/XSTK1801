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ng07\OneDrive\Tài liệu\"/>
    </mc:Choice>
  </mc:AlternateContent>
  <bookViews>
    <workbookView xWindow="0" yWindow="0" windowWidth="25600" windowHeight="1211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2" l="1"/>
  <c r="B21" i="2"/>
  <c r="B20" i="2"/>
  <c r="I13" i="2"/>
  <c r="I5" i="2"/>
  <c r="J5" i="2" s="1"/>
  <c r="K5" i="2" s="1"/>
  <c r="I6" i="2"/>
  <c r="I7" i="2"/>
  <c r="I8" i="2"/>
  <c r="I9" i="2"/>
  <c r="I10" i="2"/>
  <c r="I11" i="2"/>
  <c r="I12" i="2"/>
  <c r="I4" i="2"/>
  <c r="J9" i="2"/>
  <c r="K9" i="2" s="1"/>
  <c r="J12" i="2"/>
  <c r="K12" i="2" s="1"/>
  <c r="J13" i="2"/>
  <c r="K13" i="2" s="1"/>
  <c r="B17" i="2"/>
  <c r="J4" i="2"/>
  <c r="K4" i="2" s="1"/>
  <c r="E5" i="2"/>
  <c r="E6" i="2"/>
  <c r="G6" i="2" s="1"/>
  <c r="E7" i="2"/>
  <c r="F7" i="2" s="1"/>
  <c r="E8" i="2"/>
  <c r="F8" i="2" s="1"/>
  <c r="E9" i="2"/>
  <c r="F9" i="2" s="1"/>
  <c r="E10" i="2"/>
  <c r="F10" i="2" s="1"/>
  <c r="E11" i="2"/>
  <c r="E12" i="2"/>
  <c r="E13" i="2"/>
  <c r="F13" i="2" s="1"/>
  <c r="E4" i="2"/>
  <c r="F4" i="2" s="1"/>
  <c r="D5" i="2"/>
  <c r="D6" i="2"/>
  <c r="H6" i="2" s="1"/>
  <c r="D7" i="2"/>
  <c r="H7" i="2" s="1"/>
  <c r="D8" i="2"/>
  <c r="H8" i="2" s="1"/>
  <c r="D9" i="2"/>
  <c r="H9" i="2" s="1"/>
  <c r="D10" i="2"/>
  <c r="D11" i="2"/>
  <c r="D12" i="2"/>
  <c r="D13" i="2"/>
  <c r="D4" i="2"/>
  <c r="H11" i="2"/>
  <c r="H12" i="2"/>
  <c r="H13" i="2"/>
  <c r="G11" i="2"/>
  <c r="G12" i="2"/>
  <c r="G13" i="2"/>
  <c r="F5" i="2"/>
  <c r="F6" i="2"/>
  <c r="F11" i="2"/>
  <c r="F12" i="2"/>
  <c r="C15" i="2"/>
  <c r="B15" i="2"/>
  <c r="C14" i="2"/>
  <c r="B14" i="2"/>
  <c r="B15" i="1"/>
  <c r="B14" i="1"/>
  <c r="B13" i="1"/>
  <c r="F3" i="1"/>
  <c r="F4" i="1"/>
  <c r="F5" i="1"/>
  <c r="F6" i="1"/>
  <c r="F2" i="1"/>
  <c r="K2" i="1"/>
  <c r="B12" i="1"/>
  <c r="K3" i="1"/>
  <c r="K4" i="1"/>
  <c r="K5" i="1"/>
  <c r="K6" i="1"/>
  <c r="J3" i="1"/>
  <c r="J4" i="1"/>
  <c r="J5" i="1"/>
  <c r="J6" i="1"/>
  <c r="J2" i="1"/>
  <c r="I3" i="1"/>
  <c r="I4" i="1"/>
  <c r="I5" i="1"/>
  <c r="I6" i="1"/>
  <c r="I2" i="1"/>
  <c r="B10" i="1"/>
  <c r="B9" i="1"/>
  <c r="H7" i="1"/>
  <c r="G7" i="1"/>
  <c r="H3" i="1"/>
  <c r="H4" i="1"/>
  <c r="H5" i="1"/>
  <c r="H6" i="1"/>
  <c r="H2" i="1"/>
  <c r="G3" i="1"/>
  <c r="G4" i="1"/>
  <c r="G5" i="1"/>
  <c r="G6" i="1"/>
  <c r="G2" i="1"/>
  <c r="E3" i="1"/>
  <c r="E4" i="1"/>
  <c r="E5" i="1"/>
  <c r="E6" i="1"/>
  <c r="D3" i="1"/>
  <c r="D4" i="1"/>
  <c r="D5" i="1"/>
  <c r="D6" i="1"/>
  <c r="E2" i="1"/>
  <c r="D2" i="1"/>
  <c r="C8" i="1"/>
  <c r="B8" i="1"/>
  <c r="C7" i="1"/>
  <c r="B7" i="1"/>
  <c r="G10" i="2" l="1"/>
  <c r="G9" i="2"/>
  <c r="G8" i="2"/>
  <c r="G7" i="2"/>
  <c r="G4" i="2"/>
  <c r="H10" i="2"/>
  <c r="H4" i="2"/>
  <c r="G5" i="2"/>
  <c r="H5" i="2"/>
  <c r="H14" i="2" s="1"/>
  <c r="G14" i="2" l="1"/>
  <c r="B16" i="2"/>
  <c r="J6" i="2"/>
  <c r="K6" i="2"/>
  <c r="J7" i="2"/>
  <c r="K7" i="2" s="1"/>
  <c r="J8" i="2"/>
  <c r="K8" i="2" s="1"/>
  <c r="J10" i="2"/>
  <c r="K10" i="2" s="1"/>
  <c r="J11" i="2"/>
  <c r="K11" i="2"/>
  <c r="B19" i="2"/>
</calcChain>
</file>

<file path=xl/sharedStrings.xml><?xml version="1.0" encoding="utf-8"?>
<sst xmlns="http://schemas.openxmlformats.org/spreadsheetml/2006/main" count="42" uniqueCount="25">
  <si>
    <t>x_i</t>
  </si>
  <si>
    <t>y_i</t>
  </si>
  <si>
    <t xml:space="preserve">Tổng </t>
  </si>
  <si>
    <t>Trung bình</t>
  </si>
  <si>
    <t>Beta1</t>
  </si>
  <si>
    <t>Beta0</t>
  </si>
  <si>
    <t>PT Hồi quy</t>
  </si>
  <si>
    <t>SSE</t>
  </si>
  <si>
    <t>SST</t>
  </si>
  <si>
    <t>R^2</t>
  </si>
  <si>
    <t>MSE</t>
  </si>
  <si>
    <t>x_i - x ngang</t>
  </si>
  <si>
    <t>y_i - y ngang</t>
  </si>
  <si>
    <t>(x_i - x ngang)*(y_i - y ngang)</t>
  </si>
  <si>
    <t>(x_i - x ngang)^2</t>
  </si>
  <si>
    <t>y^=2+x</t>
  </si>
  <si>
    <t>y^</t>
  </si>
  <si>
    <t>e=y-y^</t>
  </si>
  <si>
    <t>e^2</t>
  </si>
  <si>
    <t>(y_i - y ngang)^2</t>
  </si>
  <si>
    <t>Mô hình hoàn hảo</t>
  </si>
  <si>
    <t>Cho số liệu mẫu với X là thu nhập, Y là Chi tiêu của 1- hộ gia đình ( đơn vị: triệu đòng )</t>
  </si>
  <si>
    <t>Quan sát</t>
  </si>
  <si>
    <t>Thu nhập (X)</t>
  </si>
  <si>
    <t>Chi tiêu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</si>
</sst>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Times New Roman"/>
      <family val="2"/>
      <charset val="163"/>
    </font>
    <font>
      <sz val="11"/>
      <color theme="1"/>
      <name val="Times New Roman"/>
      <family val="2"/>
      <charset val="163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Fill="1" applyBorder="1"/>
    <xf numFmtId="0" fontId="2" fillId="0" borderId="1" xfId="0" applyFont="1" applyBorder="1"/>
    <xf numFmtId="0" fontId="0" fillId="0" borderId="3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B15" sqref="B15"/>
    </sheetView>
  </sheetViews>
  <sheetFormatPr defaultRowHeight="15.5" x14ac:dyDescent="0.35"/>
  <cols>
    <col min="1" max="1" width="9.25" customWidth="1"/>
    <col min="4" max="4" width="10.58203125" customWidth="1"/>
    <col min="5" max="5" width="11.4140625" customWidth="1"/>
    <col min="6" max="6" width="14.08203125" customWidth="1"/>
    <col min="7" max="7" width="25.83203125" customWidth="1"/>
    <col min="8" max="8" width="14.83203125" customWidth="1"/>
  </cols>
  <sheetData>
    <row r="1" spans="1:11" x14ac:dyDescent="0.35">
      <c r="B1" s="1" t="s">
        <v>0</v>
      </c>
      <c r="C1" s="1" t="s">
        <v>1</v>
      </c>
      <c r="D1" s="5" t="s">
        <v>11</v>
      </c>
      <c r="E1" s="1" t="s">
        <v>12</v>
      </c>
      <c r="F1" s="1" t="s">
        <v>19</v>
      </c>
      <c r="G1" s="1" t="s">
        <v>13</v>
      </c>
      <c r="H1" s="1" t="s">
        <v>14</v>
      </c>
      <c r="I1" s="1" t="s">
        <v>16</v>
      </c>
      <c r="J1" s="1" t="s">
        <v>17</v>
      </c>
      <c r="K1" s="1" t="s">
        <v>18</v>
      </c>
    </row>
    <row r="2" spans="1:11" x14ac:dyDescent="0.35">
      <c r="B2" s="1">
        <v>2</v>
      </c>
      <c r="C2" s="1">
        <v>4</v>
      </c>
      <c r="D2" s="1">
        <f>B2-$B$8</f>
        <v>-2</v>
      </c>
      <c r="E2" s="1">
        <f>C2-$C$8</f>
        <v>-2</v>
      </c>
      <c r="F2" s="1">
        <f>E2^2</f>
        <v>4</v>
      </c>
      <c r="G2" s="1">
        <f>D2*E2</f>
        <v>4</v>
      </c>
      <c r="H2" s="1">
        <f>D2^2</f>
        <v>4</v>
      </c>
      <c r="I2" s="1">
        <f>2+B2</f>
        <v>4</v>
      </c>
      <c r="J2" s="1">
        <f>C2-I2</f>
        <v>0</v>
      </c>
      <c r="K2" s="1">
        <f>J2^2</f>
        <v>0</v>
      </c>
    </row>
    <row r="3" spans="1:11" x14ac:dyDescent="0.35">
      <c r="B3" s="1">
        <v>3</v>
      </c>
      <c r="C3" s="1">
        <v>5</v>
      </c>
      <c r="D3" s="1">
        <f t="shared" ref="D3:D6" si="0">B3-$B$8</f>
        <v>-1</v>
      </c>
      <c r="E3" s="1">
        <f t="shared" ref="E3:E6" si="1">C3-$C$8</f>
        <v>-1</v>
      </c>
      <c r="F3" s="1">
        <f t="shared" ref="F3:F6" si="2">E3^2</f>
        <v>1</v>
      </c>
      <c r="G3" s="1">
        <f t="shared" ref="G3:G6" si="3">D3*E3</f>
        <v>1</v>
      </c>
      <c r="H3" s="1">
        <f t="shared" ref="H3:H6" si="4">D3^2</f>
        <v>1</v>
      </c>
      <c r="I3" s="1">
        <f t="shared" ref="I3:I6" si="5">2+B3</f>
        <v>5</v>
      </c>
      <c r="J3" s="1">
        <f t="shared" ref="J3:J6" si="6">C3-I3</f>
        <v>0</v>
      </c>
      <c r="K3" s="1">
        <f t="shared" ref="K3:K6" si="7">J3^2</f>
        <v>0</v>
      </c>
    </row>
    <row r="4" spans="1:11" x14ac:dyDescent="0.35">
      <c r="B4" s="1">
        <v>4</v>
      </c>
      <c r="C4" s="1">
        <v>6</v>
      </c>
      <c r="D4" s="1">
        <f t="shared" si="0"/>
        <v>0</v>
      </c>
      <c r="E4" s="1">
        <f t="shared" si="1"/>
        <v>0</v>
      </c>
      <c r="F4" s="1">
        <f t="shared" si="2"/>
        <v>0</v>
      </c>
      <c r="G4" s="1">
        <f t="shared" si="3"/>
        <v>0</v>
      </c>
      <c r="H4" s="1">
        <f t="shared" si="4"/>
        <v>0</v>
      </c>
      <c r="I4" s="1">
        <f t="shared" si="5"/>
        <v>6</v>
      </c>
      <c r="J4" s="1">
        <f t="shared" si="6"/>
        <v>0</v>
      </c>
      <c r="K4" s="1">
        <f t="shared" si="7"/>
        <v>0</v>
      </c>
    </row>
    <row r="5" spans="1:11" x14ac:dyDescent="0.35">
      <c r="B5" s="1">
        <v>5</v>
      </c>
      <c r="C5" s="1">
        <v>7</v>
      </c>
      <c r="D5" s="1">
        <f t="shared" si="0"/>
        <v>1</v>
      </c>
      <c r="E5" s="1">
        <f t="shared" si="1"/>
        <v>1</v>
      </c>
      <c r="F5" s="1">
        <f t="shared" si="2"/>
        <v>1</v>
      </c>
      <c r="G5" s="1">
        <f t="shared" si="3"/>
        <v>1</v>
      </c>
      <c r="H5" s="1">
        <f t="shared" si="4"/>
        <v>1</v>
      </c>
      <c r="I5" s="1">
        <f t="shared" si="5"/>
        <v>7</v>
      </c>
      <c r="J5" s="1">
        <f t="shared" si="6"/>
        <v>0</v>
      </c>
      <c r="K5" s="1">
        <f t="shared" si="7"/>
        <v>0</v>
      </c>
    </row>
    <row r="6" spans="1:11" x14ac:dyDescent="0.35">
      <c r="A6" s="2"/>
      <c r="B6" s="1">
        <v>6</v>
      </c>
      <c r="C6" s="1">
        <v>8</v>
      </c>
      <c r="D6" s="1">
        <f t="shared" si="0"/>
        <v>2</v>
      </c>
      <c r="E6" s="1">
        <f t="shared" si="1"/>
        <v>2</v>
      </c>
      <c r="F6" s="1">
        <f t="shared" si="2"/>
        <v>4</v>
      </c>
      <c r="G6" s="1">
        <f t="shared" si="3"/>
        <v>4</v>
      </c>
      <c r="H6" s="1">
        <f t="shared" si="4"/>
        <v>4</v>
      </c>
      <c r="I6" s="1">
        <f t="shared" si="5"/>
        <v>8</v>
      </c>
      <c r="J6" s="1">
        <f t="shared" si="6"/>
        <v>0</v>
      </c>
      <c r="K6" s="1">
        <f t="shared" si="7"/>
        <v>0</v>
      </c>
    </row>
    <row r="7" spans="1:11" x14ac:dyDescent="0.35">
      <c r="A7" s="3" t="s">
        <v>2</v>
      </c>
      <c r="B7">
        <f>SUM(B2:B6)</f>
        <v>20</v>
      </c>
      <c r="C7">
        <f>SUM(C2:C6)</f>
        <v>30</v>
      </c>
      <c r="G7" s="6">
        <f>SUM(G2:G6)</f>
        <v>10</v>
      </c>
      <c r="H7" s="6">
        <f>SUM(H2:H6)</f>
        <v>10</v>
      </c>
    </row>
    <row r="8" spans="1:11" x14ac:dyDescent="0.35">
      <c r="A8" s="3" t="s">
        <v>3</v>
      </c>
      <c r="B8">
        <f>AVERAGE(B2:B6)</f>
        <v>4</v>
      </c>
      <c r="C8">
        <f>AVERAGE(C2:C6)</f>
        <v>6</v>
      </c>
    </row>
    <row r="9" spans="1:11" x14ac:dyDescent="0.35">
      <c r="A9" s="3" t="s">
        <v>4</v>
      </c>
      <c r="B9">
        <f>G7/H7</f>
        <v>1</v>
      </c>
    </row>
    <row r="10" spans="1:11" x14ac:dyDescent="0.35">
      <c r="A10" s="4" t="s">
        <v>5</v>
      </c>
      <c r="B10">
        <f>C8-B9*B8</f>
        <v>2</v>
      </c>
    </row>
    <row r="11" spans="1:11" x14ac:dyDescent="0.35">
      <c r="A11" s="4" t="s">
        <v>6</v>
      </c>
      <c r="B11" t="s">
        <v>15</v>
      </c>
    </row>
    <row r="12" spans="1:11" x14ac:dyDescent="0.35">
      <c r="A12" s="4" t="s">
        <v>7</v>
      </c>
      <c r="B12">
        <f>SUM(K2:K6)</f>
        <v>0</v>
      </c>
    </row>
    <row r="13" spans="1:11" x14ac:dyDescent="0.35">
      <c r="A13" s="4" t="s">
        <v>8</v>
      </c>
      <c r="B13">
        <f>SUM(F2:F6)</f>
        <v>10</v>
      </c>
    </row>
    <row r="14" spans="1:11" x14ac:dyDescent="0.35">
      <c r="A14" s="4" t="s">
        <v>9</v>
      </c>
      <c r="B14">
        <f>1-B12/B13</f>
        <v>1</v>
      </c>
    </row>
    <row r="15" spans="1:11" x14ac:dyDescent="0.35">
      <c r="A15" s="4" t="s">
        <v>10</v>
      </c>
      <c r="B15">
        <f>B12/5</f>
        <v>0</v>
      </c>
    </row>
    <row r="16" spans="1:11" x14ac:dyDescent="0.35">
      <c r="A16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F20" sqref="F20"/>
    </sheetView>
  </sheetViews>
  <sheetFormatPr defaultRowHeight="15.5" x14ac:dyDescent="0.35"/>
  <cols>
    <col min="1" max="1" width="14.5" customWidth="1"/>
    <col min="2" max="2" width="15.25" customWidth="1"/>
    <col min="3" max="3" width="12.25" customWidth="1"/>
    <col min="4" max="4" width="15.08203125" customWidth="1"/>
    <col min="5" max="5" width="14.1640625" customWidth="1"/>
    <col min="6" max="6" width="16.33203125" customWidth="1"/>
    <col min="7" max="7" width="25.4140625" customWidth="1"/>
    <col min="8" max="8" width="17.1640625" customWidth="1"/>
  </cols>
  <sheetData>
    <row r="1" spans="1:11" x14ac:dyDescent="0.35">
      <c r="A1" t="s">
        <v>21</v>
      </c>
    </row>
    <row r="3" spans="1:11" x14ac:dyDescent="0.35">
      <c r="A3" s="1" t="s">
        <v>22</v>
      </c>
      <c r="B3" s="1" t="s">
        <v>23</v>
      </c>
      <c r="C3" s="1" t="s">
        <v>24</v>
      </c>
      <c r="D3" s="5" t="s">
        <v>11</v>
      </c>
      <c r="E3" s="1" t="s">
        <v>12</v>
      </c>
      <c r="F3" s="1" t="s">
        <v>19</v>
      </c>
      <c r="G3" s="1" t="s">
        <v>13</v>
      </c>
      <c r="H3" s="1" t="s">
        <v>14</v>
      </c>
      <c r="I3" s="1" t="s">
        <v>16</v>
      </c>
      <c r="J3" s="1" t="s">
        <v>17</v>
      </c>
      <c r="K3" s="1" t="s">
        <v>18</v>
      </c>
    </row>
    <row r="4" spans="1:11" x14ac:dyDescent="0.35">
      <c r="A4" s="7">
        <v>1</v>
      </c>
      <c r="B4" s="7">
        <v>8</v>
      </c>
      <c r="C4" s="7">
        <v>8</v>
      </c>
      <c r="D4" s="1">
        <f>B4-$B$15</f>
        <v>-6.6</v>
      </c>
      <c r="E4" s="1">
        <f>C4-$C$15</f>
        <v>-4.5</v>
      </c>
      <c r="F4" s="1">
        <f>E4^2</f>
        <v>20.25</v>
      </c>
      <c r="G4" s="1">
        <f>D4*E4</f>
        <v>29.7</v>
      </c>
      <c r="H4" s="1">
        <f>D4^2</f>
        <v>43.559999999999995</v>
      </c>
      <c r="I4" s="1">
        <f>$B$17+$B$16*B4</f>
        <v>8.9055118110236222</v>
      </c>
      <c r="J4" s="1">
        <f>C4-I4</f>
        <v>-0.90551181102362222</v>
      </c>
      <c r="K4" s="1">
        <f>J4^2</f>
        <v>0.81995163990328013</v>
      </c>
    </row>
    <row r="5" spans="1:11" x14ac:dyDescent="0.35">
      <c r="A5" s="7">
        <v>2</v>
      </c>
      <c r="B5" s="7">
        <v>10</v>
      </c>
      <c r="C5" s="7">
        <v>11</v>
      </c>
      <c r="D5" s="1">
        <f t="shared" ref="D5:D13" si="0">B5-$B$15</f>
        <v>-4.5999999999999996</v>
      </c>
      <c r="E5" s="1">
        <f t="shared" ref="E5:E13" si="1">C5-$C$15</f>
        <v>-1.5</v>
      </c>
      <c r="F5" s="1">
        <f t="shared" ref="F5:F13" si="2">E5^2</f>
        <v>2.25</v>
      </c>
      <c r="G5" s="1">
        <f t="shared" ref="G5:G13" si="3">D5*E5</f>
        <v>6.8999999999999995</v>
      </c>
      <c r="H5" s="1">
        <f t="shared" ref="H5:H13" si="4">D5^2</f>
        <v>21.159999999999997</v>
      </c>
      <c r="I5" s="1">
        <f t="shared" ref="I5:I13" si="5">$B$17+$B$16*B5</f>
        <v>9.9947506561679802</v>
      </c>
      <c r="J5" s="1">
        <f t="shared" ref="J5:J13" si="6">C5-I5</f>
        <v>1.0052493438320198</v>
      </c>
      <c r="K5" s="1">
        <f t="shared" ref="K5:K13" si="7">J5^2</f>
        <v>1.0105262432747064</v>
      </c>
    </row>
    <row r="6" spans="1:11" x14ac:dyDescent="0.35">
      <c r="A6" s="7">
        <v>3</v>
      </c>
      <c r="B6" s="7">
        <v>12</v>
      </c>
      <c r="C6" s="7">
        <v>11</v>
      </c>
      <c r="D6" s="1">
        <f t="shared" si="0"/>
        <v>-2.5999999999999996</v>
      </c>
      <c r="E6" s="1">
        <f t="shared" si="1"/>
        <v>-1.5</v>
      </c>
      <c r="F6" s="1">
        <f t="shared" si="2"/>
        <v>2.25</v>
      </c>
      <c r="G6" s="1">
        <f t="shared" si="3"/>
        <v>3.8999999999999995</v>
      </c>
      <c r="H6" s="1">
        <f t="shared" si="4"/>
        <v>6.759999999999998</v>
      </c>
      <c r="I6" s="1">
        <f t="shared" si="5"/>
        <v>11.083989501312335</v>
      </c>
      <c r="J6" s="1">
        <f t="shared" si="6"/>
        <v>-8.3989501312334625E-2</v>
      </c>
      <c r="K6" s="1">
        <f t="shared" si="7"/>
        <v>7.0542363306946593E-3</v>
      </c>
    </row>
    <row r="7" spans="1:11" x14ac:dyDescent="0.35">
      <c r="A7" s="7">
        <v>4</v>
      </c>
      <c r="B7" s="7">
        <v>12</v>
      </c>
      <c r="C7" s="7">
        <v>10</v>
      </c>
      <c r="D7" s="1">
        <f t="shared" si="0"/>
        <v>-2.5999999999999996</v>
      </c>
      <c r="E7" s="1">
        <f t="shared" si="1"/>
        <v>-2.5</v>
      </c>
      <c r="F7" s="1">
        <f t="shared" si="2"/>
        <v>6.25</v>
      </c>
      <c r="G7" s="1">
        <f t="shared" si="3"/>
        <v>6.4999999999999991</v>
      </c>
      <c r="H7" s="1">
        <f t="shared" si="4"/>
        <v>6.759999999999998</v>
      </c>
      <c r="I7" s="1">
        <f t="shared" si="5"/>
        <v>11.083989501312335</v>
      </c>
      <c r="J7" s="1">
        <f t="shared" si="6"/>
        <v>-1.0839895013123346</v>
      </c>
      <c r="K7" s="1">
        <f t="shared" si="7"/>
        <v>1.1750332389553639</v>
      </c>
    </row>
    <row r="8" spans="1:11" x14ac:dyDescent="0.35">
      <c r="A8" s="7">
        <v>5</v>
      </c>
      <c r="B8" s="7">
        <v>14</v>
      </c>
      <c r="C8" s="7">
        <v>14</v>
      </c>
      <c r="D8" s="1">
        <f t="shared" si="0"/>
        <v>-0.59999999999999964</v>
      </c>
      <c r="E8" s="1">
        <f t="shared" si="1"/>
        <v>1.5</v>
      </c>
      <c r="F8" s="1">
        <f t="shared" si="2"/>
        <v>2.25</v>
      </c>
      <c r="G8" s="1">
        <f t="shared" si="3"/>
        <v>-0.89999999999999947</v>
      </c>
      <c r="H8" s="1">
        <f t="shared" si="4"/>
        <v>0.3599999999999996</v>
      </c>
      <c r="I8" s="1">
        <f t="shared" si="5"/>
        <v>12.173228346456693</v>
      </c>
      <c r="J8" s="1">
        <f t="shared" si="6"/>
        <v>1.8267716535433074</v>
      </c>
      <c r="K8" s="1">
        <f t="shared" si="7"/>
        <v>3.3370946741893497</v>
      </c>
    </row>
    <row r="9" spans="1:11" x14ac:dyDescent="0.35">
      <c r="A9" s="7">
        <v>6</v>
      </c>
      <c r="B9" s="7">
        <v>16</v>
      </c>
      <c r="C9" s="7">
        <v>15</v>
      </c>
      <c r="D9" s="1">
        <f t="shared" si="0"/>
        <v>1.4000000000000004</v>
      </c>
      <c r="E9" s="1">
        <f t="shared" si="1"/>
        <v>2.5</v>
      </c>
      <c r="F9" s="1">
        <f t="shared" si="2"/>
        <v>6.25</v>
      </c>
      <c r="G9" s="1">
        <f t="shared" si="3"/>
        <v>3.5000000000000009</v>
      </c>
      <c r="H9" s="1">
        <f t="shared" si="4"/>
        <v>1.9600000000000011</v>
      </c>
      <c r="I9" s="1">
        <f t="shared" si="5"/>
        <v>13.262467191601051</v>
      </c>
      <c r="J9" s="1">
        <f t="shared" si="6"/>
        <v>1.7375328083989494</v>
      </c>
      <c r="K9" s="1">
        <f t="shared" si="7"/>
        <v>3.0190202602627401</v>
      </c>
    </row>
    <row r="10" spans="1:11" x14ac:dyDescent="0.35">
      <c r="A10" s="7">
        <v>7</v>
      </c>
      <c r="B10" s="7">
        <v>16</v>
      </c>
      <c r="C10" s="7">
        <v>11</v>
      </c>
      <c r="D10" s="1">
        <f t="shared" si="0"/>
        <v>1.4000000000000004</v>
      </c>
      <c r="E10" s="1">
        <f t="shared" si="1"/>
        <v>-1.5</v>
      </c>
      <c r="F10" s="1">
        <f t="shared" si="2"/>
        <v>2.25</v>
      </c>
      <c r="G10" s="1">
        <f t="shared" si="3"/>
        <v>-2.1000000000000005</v>
      </c>
      <c r="H10" s="1">
        <f t="shared" si="4"/>
        <v>1.9600000000000011</v>
      </c>
      <c r="I10" s="1">
        <f t="shared" si="5"/>
        <v>13.262467191601051</v>
      </c>
      <c r="J10" s="1">
        <f t="shared" si="6"/>
        <v>-2.2624671916010506</v>
      </c>
      <c r="K10" s="1">
        <f t="shared" si="7"/>
        <v>5.1187577930711452</v>
      </c>
    </row>
    <row r="11" spans="1:11" x14ac:dyDescent="0.35">
      <c r="A11" s="7">
        <v>8</v>
      </c>
      <c r="B11" s="7">
        <v>18</v>
      </c>
      <c r="C11" s="7">
        <v>15</v>
      </c>
      <c r="D11" s="1">
        <f t="shared" si="0"/>
        <v>3.4000000000000004</v>
      </c>
      <c r="E11" s="1">
        <f t="shared" si="1"/>
        <v>2.5</v>
      </c>
      <c r="F11" s="1">
        <f t="shared" si="2"/>
        <v>6.25</v>
      </c>
      <c r="G11" s="1">
        <f t="shared" si="3"/>
        <v>8.5</v>
      </c>
      <c r="H11" s="1">
        <f t="shared" si="4"/>
        <v>11.560000000000002</v>
      </c>
      <c r="I11" s="1">
        <f t="shared" si="5"/>
        <v>14.351706036745405</v>
      </c>
      <c r="J11" s="1">
        <f t="shared" si="6"/>
        <v>0.64829396325459498</v>
      </c>
      <c r="K11" s="1">
        <f t="shared" si="7"/>
        <v>0.42028506279235017</v>
      </c>
    </row>
    <row r="12" spans="1:11" x14ac:dyDescent="0.35">
      <c r="A12" s="7">
        <v>9</v>
      </c>
      <c r="B12" s="7">
        <v>20</v>
      </c>
      <c r="C12" s="7">
        <v>14</v>
      </c>
      <c r="D12" s="1">
        <f t="shared" si="0"/>
        <v>5.4</v>
      </c>
      <c r="E12" s="1">
        <f t="shared" si="1"/>
        <v>1.5</v>
      </c>
      <c r="F12" s="1">
        <f t="shared" si="2"/>
        <v>2.25</v>
      </c>
      <c r="G12" s="1">
        <f t="shared" si="3"/>
        <v>8.1000000000000014</v>
      </c>
      <c r="H12" s="1">
        <f t="shared" si="4"/>
        <v>29.160000000000004</v>
      </c>
      <c r="I12" s="1">
        <f t="shared" si="5"/>
        <v>15.440944881889763</v>
      </c>
      <c r="J12" s="1">
        <f t="shared" si="6"/>
        <v>-1.440944881889763</v>
      </c>
      <c r="K12" s="1">
        <f t="shared" si="7"/>
        <v>2.0763221526443032</v>
      </c>
    </row>
    <row r="13" spans="1:11" x14ac:dyDescent="0.35">
      <c r="A13" s="7">
        <v>10</v>
      </c>
      <c r="B13" s="7">
        <v>20</v>
      </c>
      <c r="C13" s="7">
        <v>16</v>
      </c>
      <c r="D13" s="1">
        <f t="shared" si="0"/>
        <v>5.4</v>
      </c>
      <c r="E13" s="1">
        <f t="shared" si="1"/>
        <v>3.5</v>
      </c>
      <c r="F13" s="1">
        <f t="shared" si="2"/>
        <v>12.25</v>
      </c>
      <c r="G13" s="1">
        <f t="shared" si="3"/>
        <v>18.900000000000002</v>
      </c>
      <c r="H13" s="1">
        <f t="shared" si="4"/>
        <v>29.160000000000004</v>
      </c>
      <c r="I13" s="1">
        <f>$B$17+$B$16*B13</f>
        <v>15.440944881889763</v>
      </c>
      <c r="J13" s="1">
        <f t="shared" si="6"/>
        <v>0.559055118110237</v>
      </c>
      <c r="K13" s="1">
        <f t="shared" si="7"/>
        <v>0.31254262508525105</v>
      </c>
    </row>
    <row r="14" spans="1:11" x14ac:dyDescent="0.35">
      <c r="A14" s="3" t="s">
        <v>2</v>
      </c>
      <c r="B14">
        <f>SUM(B4:B13)</f>
        <v>146</v>
      </c>
      <c r="C14">
        <f>SUM(C4:C13)</f>
        <v>125</v>
      </c>
      <c r="G14" s="6">
        <f>SUM(G4:G13)</f>
        <v>83</v>
      </c>
      <c r="H14" s="6">
        <f>SUM(H4:H13)</f>
        <v>152.4</v>
      </c>
    </row>
    <row r="15" spans="1:11" x14ac:dyDescent="0.35">
      <c r="A15" s="3" t="s">
        <v>3</v>
      </c>
      <c r="B15">
        <f>AVERAGE(B4:B13)</f>
        <v>14.6</v>
      </c>
      <c r="C15">
        <f>AVERAGE(C4:C13)</f>
        <v>12.5</v>
      </c>
    </row>
    <row r="16" spans="1:11" x14ac:dyDescent="0.35">
      <c r="A16" s="3" t="s">
        <v>4</v>
      </c>
      <c r="B16">
        <f>G14/H14</f>
        <v>0.54461942257217844</v>
      </c>
    </row>
    <row r="17" spans="1:2" x14ac:dyDescent="0.35">
      <c r="A17" s="4" t="s">
        <v>5</v>
      </c>
      <c r="B17">
        <f>C15-B16*B15</f>
        <v>4.5485564304461947</v>
      </c>
    </row>
    <row r="18" spans="1:2" x14ac:dyDescent="0.35">
      <c r="A18" s="4" t="s">
        <v>6</v>
      </c>
    </row>
    <row r="19" spans="1:2" x14ac:dyDescent="0.35">
      <c r="A19" s="4" t="s">
        <v>7</v>
      </c>
      <c r="B19">
        <f>SUM(K4:K13)</f>
        <v>17.296587926509183</v>
      </c>
    </row>
    <row r="20" spans="1:2" x14ac:dyDescent="0.35">
      <c r="A20" s="4" t="s">
        <v>8</v>
      </c>
      <c r="B20">
        <f>SUM(F4:F13)</f>
        <v>62.5</v>
      </c>
    </row>
    <row r="21" spans="1:2" x14ac:dyDescent="0.35">
      <c r="A21" s="4" t="s">
        <v>9</v>
      </c>
      <c r="B21">
        <f>1-B19/B20</f>
        <v>0.72325459317585306</v>
      </c>
    </row>
    <row r="22" spans="1:2" x14ac:dyDescent="0.35">
      <c r="A22" s="4" t="s">
        <v>10</v>
      </c>
      <c r="B22">
        <f>B19/10</f>
        <v>1.7296587926509184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ong07082019@outlook.com</dc:creator>
  <cp:lastModifiedBy>ong07082019@outlook.com</cp:lastModifiedBy>
  <dcterms:created xsi:type="dcterms:W3CDTF">2026-01-17T07:35:13Z</dcterms:created>
  <dcterms:modified xsi:type="dcterms:W3CDTF">2026-01-17T09:47:31Z</dcterms:modified>
</cp:coreProperties>
</file>